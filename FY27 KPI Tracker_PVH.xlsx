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arvindgroup-my.sharepoint.com/personal/radhakishan_thakur_arvindfashions_com/Documents/Desktop/"/>
    </mc:Choice>
  </mc:AlternateContent>
  <xr:revisionPtr revIDLastSave="1" documentId="13_ncr:1_{A3163819-AE8F-44E6-9A6F-45EA67D0F8FB}" xr6:coauthVersionLast="47" xr6:coauthVersionMax="47" xr10:uidLastSave="{1FFC6CA5-761E-4CC5-9EF5-D29657D4D30B}"/>
  <bookViews>
    <workbookView xWindow="-108" yWindow="-108" windowWidth="23256" windowHeight="13896" xr2:uid="{9E2EDBB4-1CA9-4F73-995C-E3F328D04A61}"/>
  </bookViews>
  <sheets>
    <sheet name="KPI - 1_TH" sheetId="1" r:id="rId1"/>
    <sheet name="KPI - 2_TH" sheetId="2" r:id="rId2"/>
    <sheet name="KPI - 1_CK" sheetId="3" r:id="rId3"/>
    <sheet name="KPI - 2_CK" sheetId="4" r:id="rId4"/>
  </sheets>
  <externalReferences>
    <externalReference r:id="rId5"/>
  </externalReferences>
  <definedNames>
    <definedName name="_xlnm._FilterDatabase" localSheetId="2" hidden="1">'KPI - 1_CK'!$A$1:$C$30</definedName>
    <definedName name="_xlnm._FilterDatabase" localSheetId="0" hidden="1">'KPI - 1_TH'!$A$1:$C$30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4" l="1"/>
  <c r="C2" i="4"/>
  <c r="C4" i="2"/>
  <c r="C2" i="2"/>
  <c r="C29" i="3"/>
  <c r="C28" i="3"/>
  <c r="C26" i="3"/>
  <c r="C25" i="3"/>
  <c r="C24" i="3"/>
  <c r="C21" i="3"/>
  <c r="C20" i="3"/>
  <c r="C19" i="3"/>
  <c r="C14" i="3"/>
  <c r="C13" i="3"/>
  <c r="C12" i="3"/>
  <c r="C11" i="3"/>
  <c r="C10" i="3"/>
  <c r="C9" i="3"/>
  <c r="C8" i="3"/>
  <c r="C7" i="3"/>
  <c r="C6" i="3"/>
  <c r="C4" i="3"/>
  <c r="C3" i="3"/>
  <c r="C2" i="3"/>
  <c r="C29" i="1"/>
  <c r="C28" i="1"/>
  <c r="C26" i="1"/>
  <c r="C25" i="1"/>
  <c r="C24" i="1"/>
  <c r="C21" i="1"/>
  <c r="C20" i="1"/>
  <c r="C19" i="1"/>
  <c r="C14" i="1"/>
  <c r="C13" i="1"/>
  <c r="C12" i="1"/>
  <c r="C11" i="1"/>
  <c r="C10" i="1"/>
  <c r="C9" i="1"/>
  <c r="C8" i="1"/>
  <c r="C7" i="1"/>
  <c r="C6" i="1"/>
  <c r="C4" i="1"/>
  <c r="C3" i="1"/>
  <c r="C2" i="1"/>
  <c r="C22" i="3" l="1"/>
  <c r="C5" i="3" l="1"/>
  <c r="C5" i="1"/>
  <c r="C23" i="3"/>
  <c r="C22" i="1"/>
  <c r="C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Eliamma George</author>
  </authors>
  <commentList>
    <comment ref="B5" authorId="0" shapeId="0" xr:uid="{E5D5135A-5583-4757-AD2B-EDA0464381D5}">
      <text>
        <r>
          <rPr>
            <b/>
            <sz val="9"/>
            <color indexed="81"/>
            <rFont val="Tahoma"/>
            <family val="2"/>
          </rPr>
          <t>Eliamma George:</t>
        </r>
        <r>
          <rPr>
            <sz val="9"/>
            <color indexed="81"/>
            <rFont val="Tahoma"/>
            <family val="2"/>
          </rPr>
          <t xml:space="preserve">
For DTC business (offline + online MP)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Eliamma George</author>
  </authors>
  <commentList>
    <comment ref="B5" authorId="0" shapeId="0" xr:uid="{CA7FA86D-A5F8-440A-9526-4E0C14C73DC8}">
      <text>
        <r>
          <rPr>
            <b/>
            <sz val="9"/>
            <color indexed="81"/>
            <rFont val="Tahoma"/>
            <family val="2"/>
          </rPr>
          <t>Eliamma George:</t>
        </r>
        <r>
          <rPr>
            <sz val="9"/>
            <color indexed="81"/>
            <rFont val="Tahoma"/>
            <family val="2"/>
          </rPr>
          <t xml:space="preserve">
For DTC business (offline + online MP)</t>
        </r>
      </text>
    </comment>
  </commentList>
</comments>
</file>

<file path=xl/sharedStrings.xml><?xml version="1.0" encoding="utf-8"?>
<sst xmlns="http://schemas.openxmlformats.org/spreadsheetml/2006/main" count="164" uniqueCount="64">
  <si>
    <t>KPI Category</t>
  </si>
  <si>
    <t>KPI</t>
  </si>
  <si>
    <t>Apr'26 KPI Target</t>
  </si>
  <si>
    <t>Financial</t>
  </si>
  <si>
    <t>NSV (In Rs. Crs.)</t>
  </si>
  <si>
    <t>EBIDTA %</t>
  </si>
  <si>
    <t>Gross Margin (GP %)</t>
  </si>
  <si>
    <t>Discount %</t>
  </si>
  <si>
    <t>CBA %</t>
  </si>
  <si>
    <t>Retail</t>
  </si>
  <si>
    <t>Retail NSV (In Rs. Crs.)</t>
  </si>
  <si>
    <t>LFL Growth %</t>
  </si>
  <si>
    <t>Store Count</t>
  </si>
  <si>
    <t>Store (Sq ft) in Lacs</t>
  </si>
  <si>
    <t>SSPD (Sales per sq ft)</t>
  </si>
  <si>
    <t>CBA (Retail) %</t>
  </si>
  <si>
    <t>Markdown %</t>
  </si>
  <si>
    <t>Conversion Rate %</t>
  </si>
  <si>
    <t>NA</t>
  </si>
  <si>
    <t>UPT (Units per Transaction)</t>
  </si>
  <si>
    <t>WIP</t>
  </si>
  <si>
    <t>ATV (Average Transaction Value)</t>
  </si>
  <si>
    <t xml:space="preserve">Average MRP </t>
  </si>
  <si>
    <t>ASP (Average Selling Price)</t>
  </si>
  <si>
    <t>Digital</t>
  </si>
  <si>
    <t>Digital NSV (In Rs. Crs.)</t>
  </si>
  <si>
    <t>Share of Digital B2C on Total Digital NSV %</t>
  </si>
  <si>
    <t>Digital CBA %</t>
  </si>
  <si>
    <t>CODB % (Cost of Doing Business)</t>
  </si>
  <si>
    <t xml:space="preserve">DTC </t>
  </si>
  <si>
    <t>Share of DTC(Online + Retail) on Overall NSV %</t>
  </si>
  <si>
    <t>Dept. Store</t>
  </si>
  <si>
    <t>No. of Doors</t>
  </si>
  <si>
    <t>Returns %</t>
  </si>
  <si>
    <t>MBO</t>
  </si>
  <si>
    <t>CN % on MRP</t>
  </si>
  <si>
    <t xml:space="preserve"> Operational Efficiency</t>
  </si>
  <si>
    <t>Inventory Turns</t>
  </si>
  <si>
    <t>Stock Aging (MUDA buckets incl. &gt;2 yrs) (In Crs.)</t>
  </si>
  <si>
    <t>Brand / Marketing</t>
  </si>
  <si>
    <t>Total Ad Spend (% of NSV)</t>
  </si>
  <si>
    <t>Brand vs Performance Media Mix (Ratio)</t>
  </si>
  <si>
    <t>Customer Acquisition (#)</t>
  </si>
  <si>
    <t>Repeat Rate %</t>
  </si>
  <si>
    <t>Sourcing</t>
  </si>
  <si>
    <t>Share of CTM %</t>
  </si>
  <si>
    <t>Share of NOOS %</t>
  </si>
  <si>
    <t>OTIF %</t>
  </si>
  <si>
    <t>CTM Lead Time (Days)</t>
  </si>
  <si>
    <t>Merchandising</t>
  </si>
  <si>
    <t>SKU Width</t>
  </si>
  <si>
    <t>Full Price Sell Through (FPST) %</t>
  </si>
  <si>
    <t>Full Season Sell Through (FSST) %</t>
  </si>
  <si>
    <t>Key Category Growth</t>
  </si>
  <si>
    <t>Formal Shirts​</t>
  </si>
  <si>
    <t>(MRP Val)</t>
  </si>
  <si>
    <t>Trousers​</t>
  </si>
  <si>
    <t>Sports Shirts​</t>
  </si>
  <si>
    <t>TShirt​</t>
  </si>
  <si>
    <t>Blazers​</t>
  </si>
  <si>
    <t>Suits​</t>
  </si>
  <si>
    <t>WW​</t>
  </si>
  <si>
    <t>Others​</t>
  </si>
  <si>
    <t>Total​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</si>
</sst>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rgb="FF222222"/>
      <name val="Calibri"/>
      <family val="2"/>
    </font>
    <font>
      <sz val="9"/>
      <color rgb="FF222222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FFFFFF"/>
      <name val="Calibri"/>
      <family val="2"/>
    </font>
    <font>
      <sz val="10"/>
      <color theme="1"/>
      <name val="Aptos Narrow"/>
      <family val="2"/>
      <scheme val="minor"/>
    </font>
    <font>
      <b/>
      <sz val="10"/>
      <color rgb="FF222222"/>
      <name val="Calibri"/>
      <family val="2"/>
    </font>
    <font>
      <sz val="10"/>
      <color rgb="FF222222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E1F48"/>
        <bgColor indexed="64"/>
      </patternFill>
    </fill>
  </fills>
  <borders count="10">
    <border>
      <left/>
      <right/>
      <top/>
      <bottom/>
      <diagonal/>
    </border>
    <border>
      <left style="thin">
        <color rgb="FF222222"/>
      </left>
      <right style="thin">
        <color rgb="FF222222"/>
      </right>
      <top style="thin">
        <color rgb="FF222222"/>
      </top>
      <bottom style="thin">
        <color rgb="FF222222"/>
      </bottom>
      <diagonal/>
    </border>
    <border>
      <left style="thin">
        <color rgb="FF222222"/>
      </left>
      <right style="thin">
        <color rgb="FF222222"/>
      </right>
      <top style="thin">
        <color rgb="FF222222"/>
      </top>
      <bottom/>
      <diagonal/>
    </border>
    <border>
      <left style="thin">
        <color rgb="FF222222"/>
      </left>
      <right style="thin">
        <color rgb="FF222222"/>
      </right>
      <top/>
      <bottom/>
      <diagonal/>
    </border>
    <border>
      <left style="thin">
        <color rgb="FF222222"/>
      </left>
      <right style="thin">
        <color rgb="FF222222"/>
      </right>
      <top/>
      <bottom style="thin">
        <color rgb="FF222222"/>
      </bottom>
      <diagonal/>
    </border>
    <border>
      <left style="thin">
        <color rgb="FF222222"/>
      </left>
      <right style="thin">
        <color rgb="FF222222"/>
      </right>
      <top style="thin">
        <color rgb="FF222222"/>
      </top>
      <bottom style="thin">
        <color rgb="FF000000"/>
      </bottom>
      <diagonal/>
    </border>
    <border>
      <left style="thin">
        <color rgb="FF222222"/>
      </left>
      <right style="thin">
        <color rgb="FF000000"/>
      </right>
      <top style="thin">
        <color rgb="FF22222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22222"/>
      </left>
      <right style="thin">
        <color rgb="FF000000"/>
      </right>
      <top/>
      <bottom/>
      <diagonal/>
    </border>
    <border>
      <left style="thin">
        <color rgb="FF222222"/>
      </left>
      <right style="thin">
        <color rgb="FF000000"/>
      </right>
      <top/>
      <bottom style="thin">
        <color rgb="FF22222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164" fontId="4" fillId="0" borderId="0" xfId="0" applyNumberFormat="1" applyFont="1" applyAlignment="1">
      <alignment horizontal="center" vertical="center" wrapText="1" readingOrder="1"/>
    </xf>
    <xf numFmtId="0" fontId="0" fillId="0" borderId="0" xfId="0" applyAlignment="1">
      <alignment horizontal="left"/>
    </xf>
    <xf numFmtId="165" fontId="4" fillId="0" borderId="0" xfId="0" applyNumberFormat="1" applyFont="1" applyAlignment="1">
      <alignment horizontal="center" wrapText="1" readingOrder="1"/>
    </xf>
    <xf numFmtId="0" fontId="4" fillId="0" borderId="5" xfId="0" applyFont="1" applyBorder="1" applyAlignment="1">
      <alignment horizontal="left" vertical="center" wrapText="1" readingOrder="1"/>
    </xf>
    <xf numFmtId="0" fontId="4" fillId="0" borderId="7" xfId="0" applyFont="1" applyBorder="1" applyAlignment="1">
      <alignment horizontal="left" vertical="center" wrapText="1" readingOrder="1"/>
    </xf>
    <xf numFmtId="9" fontId="4" fillId="0" borderId="0" xfId="0" applyNumberFormat="1" applyFont="1" applyAlignment="1">
      <alignment horizontal="center" wrapText="1" readingOrder="1"/>
    </xf>
    <xf numFmtId="1" fontId="4" fillId="0" borderId="0" xfId="0" applyNumberFormat="1" applyFont="1" applyAlignment="1">
      <alignment horizontal="center" vertical="center" wrapText="1" readingOrder="1"/>
    </xf>
    <xf numFmtId="2" fontId="4" fillId="0" borderId="0" xfId="0" applyNumberFormat="1" applyFont="1" applyAlignment="1">
      <alignment horizontal="center" vertical="center" wrapText="1" readingOrder="1"/>
    </xf>
    <xf numFmtId="10" fontId="4" fillId="0" borderId="0" xfId="0" applyNumberFormat="1" applyFont="1" applyAlignment="1">
      <alignment horizontal="center" vertical="center" wrapText="1" readingOrder="1"/>
    </xf>
    <xf numFmtId="9" fontId="4" fillId="0" borderId="0" xfId="0" applyNumberFormat="1" applyFont="1" applyAlignment="1">
      <alignment horizontal="left" vertical="center" readingOrder="1"/>
    </xf>
    <xf numFmtId="165" fontId="4" fillId="0" borderId="0" xfId="0" applyNumberFormat="1" applyFont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10" fontId="4" fillId="0" borderId="0" xfId="0" applyNumberFormat="1" applyFont="1" applyAlignment="1">
      <alignment horizont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7" fillId="2" borderId="0" xfId="0" applyFont="1" applyFill="1" applyAlignment="1">
      <alignment horizontal="center" vertical="center" wrapText="1" readingOrder="1"/>
    </xf>
    <xf numFmtId="0" fontId="8" fillId="0" borderId="0" xfId="0" applyFont="1"/>
    <xf numFmtId="0" fontId="10" fillId="0" borderId="1" xfId="0" applyFont="1" applyBorder="1" applyAlignment="1">
      <alignment horizontal="left" vertical="center" wrapText="1" readingOrder="1"/>
    </xf>
    <xf numFmtId="2" fontId="10" fillId="0" borderId="0" xfId="0" applyNumberFormat="1" applyFont="1" applyAlignment="1">
      <alignment horizontal="center" vertical="center" wrapText="1" readingOrder="1"/>
    </xf>
    <xf numFmtId="0" fontId="10" fillId="0" borderId="0" xfId="0" applyFont="1" applyAlignment="1">
      <alignment horizontal="center" vertical="center" wrapText="1" readingOrder="1"/>
    </xf>
    <xf numFmtId="165" fontId="11" fillId="0" borderId="0" xfId="1" applyNumberFormat="1" applyFont="1" applyFill="1" applyBorder="1" applyAlignment="1">
      <alignment horizontal="center" vertical="center" wrapText="1" readingOrder="1"/>
    </xf>
    <xf numFmtId="9" fontId="10" fillId="0" borderId="0" xfId="0" applyNumberFormat="1" applyFont="1" applyAlignment="1">
      <alignment horizontal="left" vertical="center" readingOrder="1"/>
    </xf>
    <xf numFmtId="0" fontId="9" fillId="0" borderId="2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vertical="center" wrapText="1" readingOrder="1"/>
    </xf>
    <xf numFmtId="0" fontId="11" fillId="0" borderId="4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1"/>
    </xf>
    <xf numFmtId="0" fontId="9" fillId="0" borderId="2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liammageorge\Desktop\TH%20CK%20KPI%20Tracker_Working.xlsx" TargetMode="External"/><Relationship Id="rId1" Type="http://schemas.openxmlformats.org/officeDocument/2006/relationships/externalLinkPath" Target="TH%20CK%20KPI%20Tracker_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KPI - 1_PVH"/>
      <sheetName val="KPI - 2_PVH"/>
      <sheetName val="KPI - 1_TH"/>
      <sheetName val="KPI - 2_TH"/>
      <sheetName val="KPI - 1_CK"/>
      <sheetName val="KPI - 2_CK"/>
    </sheetNames>
    <sheetDataSet>
      <sheetData sheetId="0" refreshError="1"/>
      <sheetData sheetId="1" refreshError="1"/>
      <sheetData sheetId="2" refreshError="1"/>
      <sheetData sheetId="3">
        <row r="2">
          <cell r="C2">
            <v>903.25998382008436</v>
          </cell>
          <cell r="F2">
            <v>68.876117995049668</v>
          </cell>
        </row>
        <row r="3">
          <cell r="F3">
            <v>0.13510354597339605</v>
          </cell>
        </row>
        <row r="4">
          <cell r="F4">
            <v>0.65923010187842146</v>
          </cell>
        </row>
        <row r="5">
          <cell r="F5">
            <v>0.15170954457735555</v>
          </cell>
        </row>
        <row r="6">
          <cell r="F6">
            <v>0.23164697071932822</v>
          </cell>
        </row>
        <row r="7">
          <cell r="F7">
            <v>39.695318720021135</v>
          </cell>
        </row>
        <row r="8">
          <cell r="F8">
            <v>7.6835418965185642E-2</v>
          </cell>
        </row>
        <row r="9">
          <cell r="F9">
            <v>123</v>
          </cell>
        </row>
        <row r="10">
          <cell r="F10">
            <v>1.6476667999999999</v>
          </cell>
        </row>
        <row r="11">
          <cell r="F11">
            <v>95.832847746244255</v>
          </cell>
        </row>
        <row r="12">
          <cell r="F12">
            <v>0.20586433370591742</v>
          </cell>
        </row>
        <row r="13">
          <cell r="F13">
            <v>0.1126777439961604</v>
          </cell>
        </row>
        <row r="14">
          <cell r="F14" t="str">
            <v>NA</v>
          </cell>
        </row>
        <row r="19">
          <cell r="F19">
            <v>12.954995209234081</v>
          </cell>
        </row>
        <row r="20">
          <cell r="F20">
            <v>0.70658277063090358</v>
          </cell>
        </row>
        <row r="21">
          <cell r="F21">
            <v>0.30554912003815476</v>
          </cell>
        </row>
        <row r="22">
          <cell r="F22">
            <v>0.33593132966286671</v>
          </cell>
        </row>
        <row r="23">
          <cell r="F23">
            <v>0.18760663975003483</v>
          </cell>
        </row>
        <row r="24">
          <cell r="F24">
            <v>0.70923124807909121</v>
          </cell>
        </row>
        <row r="25">
          <cell r="F25">
            <v>0.60205063463113673</v>
          </cell>
        </row>
        <row r="26">
          <cell r="F26">
            <v>84</v>
          </cell>
        </row>
        <row r="28">
          <cell r="F28">
            <v>10.823753431163308</v>
          </cell>
        </row>
        <row r="29">
          <cell r="F29">
            <v>0.10694408795639912</v>
          </cell>
        </row>
      </sheetData>
      <sheetData sheetId="4">
        <row r="2">
          <cell r="C2">
            <v>2.9850706273952077</v>
          </cell>
          <cell r="F2">
            <v>3.2516213493035604</v>
          </cell>
        </row>
        <row r="4">
          <cell r="F4">
            <v>2.8620303207564236E-2</v>
          </cell>
        </row>
      </sheetData>
      <sheetData sheetId="5">
        <row r="2">
          <cell r="C2">
            <v>602.84207878305506</v>
          </cell>
          <cell r="F2">
            <v>48.274515253013483</v>
          </cell>
        </row>
        <row r="3">
          <cell r="F3">
            <v>0.17402331399338161</v>
          </cell>
        </row>
        <row r="4">
          <cell r="F4">
            <v>0.71382831906478883</v>
          </cell>
        </row>
        <row r="5">
          <cell r="F5">
            <v>0.12072132840205177</v>
          </cell>
        </row>
        <row r="6">
          <cell r="F6">
            <v>0.29073644532926513</v>
          </cell>
        </row>
        <row r="7">
          <cell r="F7">
            <v>33.175928847849697</v>
          </cell>
        </row>
        <row r="8">
          <cell r="F8">
            <v>7.1546399701901686E-2</v>
          </cell>
        </row>
        <row r="9">
          <cell r="F9">
            <v>100</v>
          </cell>
        </row>
        <row r="10">
          <cell r="F10">
            <v>1.0640446180512448</v>
          </cell>
        </row>
        <row r="11">
          <cell r="F11">
            <v>123.67185199238389</v>
          </cell>
        </row>
        <row r="12">
          <cell r="F12">
            <v>0.28420079465146164</v>
          </cell>
        </row>
        <row r="13">
          <cell r="F13">
            <v>8.4199076815871812E-2</v>
          </cell>
        </row>
        <row r="14">
          <cell r="F14" t="str">
            <v>NA</v>
          </cell>
        </row>
        <row r="19">
          <cell r="F19">
            <v>7.4464737023903425</v>
          </cell>
        </row>
        <row r="20">
          <cell r="F20">
            <v>0.82473041318361806</v>
          </cell>
        </row>
        <row r="21">
          <cell r="F21">
            <v>0.34645999307056552</v>
          </cell>
        </row>
        <row r="22">
          <cell r="F22">
            <v>0.31405613648871772</v>
          </cell>
        </row>
        <row r="23">
          <cell r="F23">
            <v>0.22243702920576189</v>
          </cell>
        </row>
        <row r="24">
          <cell r="F24">
            <v>0.81445172416782985</v>
          </cell>
        </row>
        <row r="25">
          <cell r="F25">
            <v>0.1500014524362055</v>
          </cell>
        </row>
        <row r="26">
          <cell r="F26">
            <v>63</v>
          </cell>
        </row>
        <row r="28">
          <cell r="F28">
            <v>7.5021112503372267</v>
          </cell>
        </row>
        <row r="29">
          <cell r="F29">
            <v>8.3789652554307245E-2</v>
          </cell>
        </row>
      </sheetData>
      <sheetData sheetId="6">
        <row r="2">
          <cell r="C2">
            <v>3.8635375170045467</v>
          </cell>
          <cell r="F2">
            <v>4.2486990783480598</v>
          </cell>
        </row>
        <row r="4">
          <cell r="F4">
            <v>3.0753986285596464E-2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B5091-A228-49AF-8550-711543F19B9A}">
  <dimension ref="A1:C30"/>
  <sheetViews>
    <sheetView tabSelected="1" zoomScale="90" zoomScaleNormal="90" workbookViewId="0">
      <pane xSplit="2" ySplit="1" topLeftCell="C2" activePane="bottomRight" state="frozen"/>
      <selection activeCell="C2" sqref="C2"/>
      <selection pane="topRight" activeCell="C2" sqref="C2"/>
      <selection pane="bottomLeft" activeCell="C2" sqref="C2"/>
      <selection pane="bottomRight" activeCell="P16" sqref="P16"/>
    </sheetView>
  </sheetViews>
  <sheetFormatPr defaultRowHeight="14.4" x14ac:dyDescent="0.3"/>
  <cols>
    <col min="1" max="3" width="19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29" t="s">
        <v>3</v>
      </c>
      <c r="B2" s="3" t="s">
        <v>4</v>
      </c>
      <c r="C2" s="4">
        <f>'[1]KPI - 1_TH'!F2</f>
        <v>68.876117995049668</v>
      </c>
    </row>
    <row r="3" spans="1:3" x14ac:dyDescent="0.3">
      <c r="A3" s="30"/>
      <c r="B3" s="3" t="s">
        <v>5</v>
      </c>
      <c r="C3" s="6">
        <f>'[1]KPI - 1_TH'!F3</f>
        <v>0.13510354597339605</v>
      </c>
    </row>
    <row r="4" spans="1:3" x14ac:dyDescent="0.3">
      <c r="A4" s="30"/>
      <c r="B4" s="3" t="s">
        <v>6</v>
      </c>
      <c r="C4" s="6">
        <f>'[1]KPI - 1_TH'!F4</f>
        <v>0.65923010187842146</v>
      </c>
    </row>
    <row r="5" spans="1:3" x14ac:dyDescent="0.3">
      <c r="A5" s="30"/>
      <c r="B5" s="3" t="s">
        <v>7</v>
      </c>
      <c r="C5" s="6">
        <f>'[1]KPI - 1_TH'!F5</f>
        <v>0.15170954457735555</v>
      </c>
    </row>
    <row r="6" spans="1:3" x14ac:dyDescent="0.3">
      <c r="A6" s="31"/>
      <c r="B6" s="7" t="s">
        <v>8</v>
      </c>
      <c r="C6" s="6">
        <f>'[1]KPI - 1_TH'!F6</f>
        <v>0.23164697071932822</v>
      </c>
    </row>
    <row r="7" spans="1:3" x14ac:dyDescent="0.3">
      <c r="A7" s="32" t="s">
        <v>9</v>
      </c>
      <c r="B7" s="8" t="s">
        <v>10</v>
      </c>
      <c r="C7" s="4">
        <f>'[1]KPI - 1_TH'!F7</f>
        <v>39.695318720021135</v>
      </c>
    </row>
    <row r="8" spans="1:3" x14ac:dyDescent="0.3">
      <c r="A8" s="33"/>
      <c r="B8" s="8" t="s">
        <v>11</v>
      </c>
      <c r="C8" s="9">
        <f>'[1]KPI - 1_TH'!F8</f>
        <v>7.6835418965185642E-2</v>
      </c>
    </row>
    <row r="9" spans="1:3" x14ac:dyDescent="0.3">
      <c r="A9" s="33"/>
      <c r="B9" s="8" t="s">
        <v>12</v>
      </c>
      <c r="C9" s="10">
        <f>'[1]KPI - 1_TH'!F9</f>
        <v>123</v>
      </c>
    </row>
    <row r="10" spans="1:3" x14ac:dyDescent="0.3">
      <c r="A10" s="33"/>
      <c r="B10" s="8" t="s">
        <v>13</v>
      </c>
      <c r="C10" s="11">
        <f>'[1]KPI - 1_TH'!F10</f>
        <v>1.6476667999999999</v>
      </c>
    </row>
    <row r="11" spans="1:3" x14ac:dyDescent="0.3">
      <c r="A11" s="33"/>
      <c r="B11" s="8" t="s">
        <v>14</v>
      </c>
      <c r="C11" s="10">
        <f>'[1]KPI - 1_TH'!F11</f>
        <v>95.832847746244255</v>
      </c>
    </row>
    <row r="12" spans="1:3" x14ac:dyDescent="0.3">
      <c r="A12" s="33"/>
      <c r="B12" s="8" t="s">
        <v>15</v>
      </c>
      <c r="C12" s="6">
        <f>'[1]KPI - 1_TH'!F12</f>
        <v>0.20586433370591742</v>
      </c>
    </row>
    <row r="13" spans="1:3" x14ac:dyDescent="0.3">
      <c r="A13" s="33"/>
      <c r="B13" s="8" t="s">
        <v>16</v>
      </c>
      <c r="C13" s="6">
        <f>'[1]KPI - 1_TH'!F13</f>
        <v>0.1126777439961604</v>
      </c>
    </row>
    <row r="14" spans="1:3" x14ac:dyDescent="0.3">
      <c r="A14" s="33"/>
      <c r="B14" s="8" t="s">
        <v>17</v>
      </c>
      <c r="C14" s="12" t="str">
        <f>'[1]KPI - 1_TH'!F14</f>
        <v>NA</v>
      </c>
    </row>
    <row r="15" spans="1:3" x14ac:dyDescent="0.3">
      <c r="A15" s="33"/>
      <c r="B15" s="8" t="s">
        <v>19</v>
      </c>
      <c r="C15" s="13" t="s">
        <v>20</v>
      </c>
    </row>
    <row r="16" spans="1:3" ht="24" x14ac:dyDescent="0.3">
      <c r="A16" s="33"/>
      <c r="B16" s="8" t="s">
        <v>21</v>
      </c>
      <c r="C16" s="13" t="s">
        <v>20</v>
      </c>
    </row>
    <row r="17" spans="1:3" s="5" customFormat="1" x14ac:dyDescent="0.3">
      <c r="A17" s="33"/>
      <c r="B17" s="8" t="s">
        <v>22</v>
      </c>
      <c r="C17" s="13" t="s">
        <v>20</v>
      </c>
    </row>
    <row r="18" spans="1:3" s="5" customFormat="1" x14ac:dyDescent="0.3">
      <c r="A18" s="34"/>
      <c r="B18" s="8" t="s">
        <v>23</v>
      </c>
      <c r="C18" s="13" t="s">
        <v>20</v>
      </c>
    </row>
    <row r="19" spans="1:3" s="5" customFormat="1" x14ac:dyDescent="0.3">
      <c r="A19" s="29" t="s">
        <v>24</v>
      </c>
      <c r="B19" s="3" t="s">
        <v>25</v>
      </c>
      <c r="C19" s="4">
        <f>'[1]KPI - 1_TH'!F19</f>
        <v>12.954995209234081</v>
      </c>
    </row>
    <row r="20" spans="1:3" s="5" customFormat="1" ht="24" x14ac:dyDescent="0.3">
      <c r="A20" s="30"/>
      <c r="B20" s="3" t="s">
        <v>26</v>
      </c>
      <c r="C20" s="14">
        <f>'[1]KPI - 1_TH'!F20</f>
        <v>0.70658277063090358</v>
      </c>
    </row>
    <row r="21" spans="1:3" s="5" customFormat="1" x14ac:dyDescent="0.3">
      <c r="A21" s="30"/>
      <c r="B21" s="3" t="s">
        <v>27</v>
      </c>
      <c r="C21" s="14">
        <f>'[1]KPI - 1_TH'!F21</f>
        <v>0.30554912003815476</v>
      </c>
    </row>
    <row r="22" spans="1:3" s="5" customFormat="1" x14ac:dyDescent="0.3">
      <c r="A22" s="30"/>
      <c r="B22" s="3" t="s">
        <v>7</v>
      </c>
      <c r="C22" s="14">
        <f>'[1]KPI - 1_TH'!F22</f>
        <v>0.33593132966286671</v>
      </c>
    </row>
    <row r="23" spans="1:3" s="5" customFormat="1" ht="24" x14ac:dyDescent="0.3">
      <c r="A23" s="31"/>
      <c r="B23" s="3" t="s">
        <v>28</v>
      </c>
      <c r="C23" s="14">
        <f>'[1]KPI - 1_TH'!F23</f>
        <v>0.18760663975003483</v>
      </c>
    </row>
    <row r="24" spans="1:3" s="5" customFormat="1" ht="24" x14ac:dyDescent="0.3">
      <c r="A24" s="15" t="s">
        <v>29</v>
      </c>
      <c r="B24" s="3" t="s">
        <v>30</v>
      </c>
      <c r="C24" s="14">
        <f>'[1]KPI - 1_TH'!F24</f>
        <v>0.70923124807909121</v>
      </c>
    </row>
    <row r="25" spans="1:3" s="5" customFormat="1" x14ac:dyDescent="0.3">
      <c r="A25" s="29" t="s">
        <v>31</v>
      </c>
      <c r="B25" s="3" t="s">
        <v>4</v>
      </c>
      <c r="C25" s="4">
        <f>'[1]KPI - 1_TH'!F25</f>
        <v>0.60205063463113673</v>
      </c>
    </row>
    <row r="26" spans="1:3" s="5" customFormat="1" x14ac:dyDescent="0.3">
      <c r="A26" s="30"/>
      <c r="B26" s="3" t="s">
        <v>32</v>
      </c>
      <c r="C26" s="10">
        <f>'[1]KPI - 1_TH'!F26</f>
        <v>84</v>
      </c>
    </row>
    <row r="27" spans="1:3" s="5" customFormat="1" x14ac:dyDescent="0.3">
      <c r="A27" s="31"/>
      <c r="B27" s="3" t="s">
        <v>33</v>
      </c>
      <c r="C27" s="16"/>
    </row>
    <row r="28" spans="1:3" s="5" customFormat="1" x14ac:dyDescent="0.3">
      <c r="A28" s="29" t="s">
        <v>34</v>
      </c>
      <c r="B28" s="3" t="s">
        <v>4</v>
      </c>
      <c r="C28" s="4">
        <f>'[1]KPI - 1_TH'!F28</f>
        <v>10.823753431163308</v>
      </c>
    </row>
    <row r="29" spans="1:3" s="5" customFormat="1" x14ac:dyDescent="0.3">
      <c r="A29" s="30"/>
      <c r="B29" s="3" t="s">
        <v>35</v>
      </c>
      <c r="C29" s="6">
        <f>'[1]KPI - 1_TH'!F29</f>
        <v>0.10694408795639912</v>
      </c>
    </row>
    <row r="30" spans="1:3" s="5" customFormat="1" x14ac:dyDescent="0.3">
      <c r="A30" s="31"/>
      <c r="B30" s="3" t="s">
        <v>33</v>
      </c>
      <c r="C30" s="16"/>
    </row>
  </sheetData>
  <autoFilter ref="A1:C30" xr:uid="{63A0B9C1-74E8-4169-AB1A-D37610259D49}"/>
  <mergeCells count="5">
    <mergeCell ref="A2:A6"/>
    <mergeCell ref="A7:A18"/>
    <mergeCell ref="A19:A23"/>
    <mergeCell ref="A25:A27"/>
    <mergeCell ref="A28:A3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DAF2-A3DA-4B7E-A572-3D74238DE4A7}">
  <dimension ref="A1:C23"/>
  <sheetViews>
    <sheetView zoomScale="80" zoomScaleNormal="80" workbookViewId="0">
      <pane xSplit="2" ySplit="1" topLeftCell="C2" activePane="bottomRight" state="frozen"/>
      <selection activeCell="C2" sqref="C2"/>
      <selection pane="topRight" activeCell="C2" sqref="C2"/>
      <selection pane="bottomLeft" activeCell="C2" sqref="C2"/>
      <selection pane="bottomRight" activeCell="D1" sqref="D1:V1048576"/>
    </sheetView>
  </sheetViews>
  <sheetFormatPr defaultColWidth="8.77734375" defaultRowHeight="13.8" x14ac:dyDescent="0.3"/>
  <cols>
    <col min="1" max="3" width="19.77734375" style="19" customWidth="1"/>
    <col min="4" max="16384" width="8.77734375" style="19"/>
  </cols>
  <sheetData>
    <row r="1" spans="1:3" x14ac:dyDescent="0.3">
      <c r="A1" s="17" t="s">
        <v>0</v>
      </c>
      <c r="B1" s="17" t="s">
        <v>1</v>
      </c>
      <c r="C1" s="18" t="s">
        <v>2</v>
      </c>
    </row>
    <row r="2" spans="1:3" x14ac:dyDescent="0.3">
      <c r="A2" s="35" t="s">
        <v>36</v>
      </c>
      <c r="B2" s="20" t="s">
        <v>37</v>
      </c>
      <c r="C2" s="21">
        <f>'[1]KPI - 2_TH'!F2</f>
        <v>3.2516213493035604</v>
      </c>
    </row>
    <row r="3" spans="1:3" ht="41.4" x14ac:dyDescent="0.3">
      <c r="A3" s="36"/>
      <c r="B3" s="20" t="s">
        <v>38</v>
      </c>
      <c r="C3" s="22">
        <v>0</v>
      </c>
    </row>
    <row r="4" spans="1:3" ht="27.6" x14ac:dyDescent="0.3">
      <c r="A4" s="35" t="s">
        <v>39</v>
      </c>
      <c r="B4" s="20" t="s">
        <v>40</v>
      </c>
      <c r="C4" s="23">
        <f>'[1]KPI - 2_TH'!F4</f>
        <v>2.8620303207564236E-2</v>
      </c>
    </row>
    <row r="5" spans="1:3" ht="27.6" x14ac:dyDescent="0.3">
      <c r="A5" s="37"/>
      <c r="B5" s="20" t="s">
        <v>41</v>
      </c>
      <c r="C5" s="22"/>
    </row>
    <row r="6" spans="1:3" ht="27.6" x14ac:dyDescent="0.3">
      <c r="A6" s="37"/>
      <c r="B6" s="20" t="s">
        <v>42</v>
      </c>
      <c r="C6" s="24" t="s">
        <v>20</v>
      </c>
    </row>
    <row r="7" spans="1:3" x14ac:dyDescent="0.3">
      <c r="A7" s="36"/>
      <c r="B7" s="20" t="s">
        <v>43</v>
      </c>
      <c r="C7" s="24" t="s">
        <v>20</v>
      </c>
    </row>
    <row r="8" spans="1:3" x14ac:dyDescent="0.3">
      <c r="A8" s="35" t="s">
        <v>44</v>
      </c>
      <c r="B8" s="20" t="s">
        <v>45</v>
      </c>
      <c r="C8" s="22" t="s">
        <v>18</v>
      </c>
    </row>
    <row r="9" spans="1:3" x14ac:dyDescent="0.3">
      <c r="A9" s="37"/>
      <c r="B9" s="20" t="s">
        <v>46</v>
      </c>
      <c r="C9" s="22" t="s">
        <v>18</v>
      </c>
    </row>
    <row r="10" spans="1:3" x14ac:dyDescent="0.3">
      <c r="A10" s="37"/>
      <c r="B10" s="20" t="s">
        <v>47</v>
      </c>
      <c r="C10" s="22" t="s">
        <v>18</v>
      </c>
    </row>
    <row r="11" spans="1:3" x14ac:dyDescent="0.3">
      <c r="A11" s="36"/>
      <c r="B11" s="20" t="s">
        <v>48</v>
      </c>
      <c r="C11" s="22" t="s">
        <v>18</v>
      </c>
    </row>
    <row r="12" spans="1:3" x14ac:dyDescent="0.3">
      <c r="A12" s="35" t="s">
        <v>49</v>
      </c>
      <c r="B12" s="20" t="s">
        <v>50</v>
      </c>
      <c r="C12" s="22" t="s">
        <v>18</v>
      </c>
    </row>
    <row r="13" spans="1:3" ht="27.6" x14ac:dyDescent="0.3">
      <c r="A13" s="37"/>
      <c r="B13" s="20" t="s">
        <v>51</v>
      </c>
      <c r="C13" s="22" t="s">
        <v>18</v>
      </c>
    </row>
    <row r="14" spans="1:3" ht="27.6" x14ac:dyDescent="0.3">
      <c r="A14" s="36"/>
      <c r="B14" s="20" t="s">
        <v>52</v>
      </c>
      <c r="C14" s="22" t="s">
        <v>18</v>
      </c>
    </row>
    <row r="15" spans="1:3" x14ac:dyDescent="0.3">
      <c r="A15" s="25" t="s">
        <v>53</v>
      </c>
      <c r="B15" s="20" t="s">
        <v>54</v>
      </c>
      <c r="C15" s="22"/>
    </row>
    <row r="16" spans="1:3" x14ac:dyDescent="0.3">
      <c r="A16" s="26" t="s">
        <v>55</v>
      </c>
      <c r="B16" s="20" t="s">
        <v>56</v>
      </c>
      <c r="C16" s="22"/>
    </row>
    <row r="17" spans="1:3" x14ac:dyDescent="0.3">
      <c r="A17" s="27"/>
      <c r="B17" s="20" t="s">
        <v>57</v>
      </c>
      <c r="C17" s="22"/>
    </row>
    <row r="18" spans="1:3" x14ac:dyDescent="0.3">
      <c r="A18" s="27"/>
      <c r="B18" s="20" t="s">
        <v>58</v>
      </c>
      <c r="C18" s="22"/>
    </row>
    <row r="19" spans="1:3" x14ac:dyDescent="0.3">
      <c r="A19" s="27"/>
      <c r="B19" s="20" t="s">
        <v>59</v>
      </c>
      <c r="C19" s="22"/>
    </row>
    <row r="20" spans="1:3" x14ac:dyDescent="0.3">
      <c r="A20" s="27"/>
      <c r="B20" s="20" t="s">
        <v>60</v>
      </c>
      <c r="C20" s="22"/>
    </row>
    <row r="21" spans="1:3" x14ac:dyDescent="0.3">
      <c r="A21" s="27"/>
      <c r="B21" s="20" t="s">
        <v>61</v>
      </c>
      <c r="C21" s="22"/>
    </row>
    <row r="22" spans="1:3" x14ac:dyDescent="0.3">
      <c r="A22" s="27"/>
      <c r="B22" s="20" t="s">
        <v>62</v>
      </c>
      <c r="C22" s="22"/>
    </row>
    <row r="23" spans="1:3" x14ac:dyDescent="0.3">
      <c r="A23" s="28"/>
      <c r="B23" s="20" t="s">
        <v>63</v>
      </c>
      <c r="C23" s="22"/>
    </row>
  </sheetData>
  <mergeCells count="4">
    <mergeCell ref="A2:A3"/>
    <mergeCell ref="A4:A7"/>
    <mergeCell ref="A8:A11"/>
    <mergeCell ref="A12:A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83B7C-AC46-4BCE-80A2-E744DAC7CBB4}">
  <dimension ref="A1:C30"/>
  <sheetViews>
    <sheetView zoomScale="90" zoomScaleNormal="90" workbookViewId="0">
      <pane xSplit="2" ySplit="1" topLeftCell="C2" activePane="bottomRight" state="frozen"/>
      <selection activeCell="C2" sqref="C2"/>
      <selection pane="topRight" activeCell="C2" sqref="C2"/>
      <selection pane="bottomLeft" activeCell="C2" sqref="C2"/>
      <selection pane="bottomRight" activeCell="I17" sqref="I17"/>
    </sheetView>
  </sheetViews>
  <sheetFormatPr defaultRowHeight="14.4" x14ac:dyDescent="0.3"/>
  <cols>
    <col min="1" max="3" width="19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29" t="s">
        <v>3</v>
      </c>
      <c r="B2" s="3" t="s">
        <v>4</v>
      </c>
      <c r="C2" s="4">
        <f>'[1]KPI - 1_CK'!F2</f>
        <v>48.274515253013483</v>
      </c>
    </row>
    <row r="3" spans="1:3" x14ac:dyDescent="0.3">
      <c r="A3" s="30"/>
      <c r="B3" s="3" t="s">
        <v>5</v>
      </c>
      <c r="C3" s="6">
        <f>'[1]KPI - 1_CK'!F3</f>
        <v>0.17402331399338161</v>
      </c>
    </row>
    <row r="4" spans="1:3" x14ac:dyDescent="0.3">
      <c r="A4" s="30"/>
      <c r="B4" s="3" t="s">
        <v>6</v>
      </c>
      <c r="C4" s="6">
        <f>'[1]KPI - 1_CK'!F4</f>
        <v>0.71382831906478883</v>
      </c>
    </row>
    <row r="5" spans="1:3" x14ac:dyDescent="0.3">
      <c r="A5" s="30"/>
      <c r="B5" s="3" t="s">
        <v>7</v>
      </c>
      <c r="C5" s="6">
        <f>'[1]KPI - 1_CK'!F5</f>
        <v>0.12072132840205177</v>
      </c>
    </row>
    <row r="6" spans="1:3" x14ac:dyDescent="0.3">
      <c r="A6" s="31"/>
      <c r="B6" s="7" t="s">
        <v>8</v>
      </c>
      <c r="C6" s="6">
        <f>'[1]KPI - 1_CK'!F6</f>
        <v>0.29073644532926513</v>
      </c>
    </row>
    <row r="7" spans="1:3" x14ac:dyDescent="0.3">
      <c r="A7" s="32" t="s">
        <v>9</v>
      </c>
      <c r="B7" s="8" t="s">
        <v>10</v>
      </c>
      <c r="C7" s="4">
        <f>'[1]KPI - 1_CK'!F7</f>
        <v>33.175928847849697</v>
      </c>
    </row>
    <row r="8" spans="1:3" x14ac:dyDescent="0.3">
      <c r="A8" s="33"/>
      <c r="B8" s="8" t="s">
        <v>11</v>
      </c>
      <c r="C8" s="9">
        <f>'[1]KPI - 1_CK'!F8</f>
        <v>7.1546399701901686E-2</v>
      </c>
    </row>
    <row r="9" spans="1:3" x14ac:dyDescent="0.3">
      <c r="A9" s="33"/>
      <c r="B9" s="8" t="s">
        <v>12</v>
      </c>
      <c r="C9" s="10">
        <f>'[1]KPI - 1_CK'!F9</f>
        <v>100</v>
      </c>
    </row>
    <row r="10" spans="1:3" x14ac:dyDescent="0.3">
      <c r="A10" s="33"/>
      <c r="B10" s="8" t="s">
        <v>13</v>
      </c>
      <c r="C10" s="11">
        <f>'[1]KPI - 1_CK'!F10</f>
        <v>1.0640446180512448</v>
      </c>
    </row>
    <row r="11" spans="1:3" x14ac:dyDescent="0.3">
      <c r="A11" s="33"/>
      <c r="B11" s="8" t="s">
        <v>14</v>
      </c>
      <c r="C11" s="10">
        <f>'[1]KPI - 1_CK'!F11</f>
        <v>123.67185199238389</v>
      </c>
    </row>
    <row r="12" spans="1:3" x14ac:dyDescent="0.3">
      <c r="A12" s="33"/>
      <c r="B12" s="8" t="s">
        <v>15</v>
      </c>
      <c r="C12" s="6">
        <f>'[1]KPI - 1_CK'!F12</f>
        <v>0.28420079465146164</v>
      </c>
    </row>
    <row r="13" spans="1:3" x14ac:dyDescent="0.3">
      <c r="A13" s="33"/>
      <c r="B13" s="8" t="s">
        <v>16</v>
      </c>
      <c r="C13" s="6">
        <f>'[1]KPI - 1_CK'!F13</f>
        <v>8.4199076815871812E-2</v>
      </c>
    </row>
    <row r="14" spans="1:3" x14ac:dyDescent="0.3">
      <c r="A14" s="33"/>
      <c r="B14" s="8" t="s">
        <v>17</v>
      </c>
      <c r="C14" s="12" t="str">
        <f>'[1]KPI - 1_CK'!F14</f>
        <v>NA</v>
      </c>
    </row>
    <row r="15" spans="1:3" x14ac:dyDescent="0.3">
      <c r="A15" s="33"/>
      <c r="B15" s="8" t="s">
        <v>19</v>
      </c>
      <c r="C15" s="13" t="s">
        <v>20</v>
      </c>
    </row>
    <row r="16" spans="1:3" ht="24" x14ac:dyDescent="0.3">
      <c r="A16" s="33"/>
      <c r="B16" s="8" t="s">
        <v>21</v>
      </c>
      <c r="C16" s="13" t="s">
        <v>20</v>
      </c>
    </row>
    <row r="17" spans="1:3" s="5" customFormat="1" x14ac:dyDescent="0.3">
      <c r="A17" s="33"/>
      <c r="B17" s="8" t="s">
        <v>22</v>
      </c>
      <c r="C17" s="13" t="s">
        <v>20</v>
      </c>
    </row>
    <row r="18" spans="1:3" s="5" customFormat="1" x14ac:dyDescent="0.3">
      <c r="A18" s="34"/>
      <c r="B18" s="8" t="s">
        <v>23</v>
      </c>
      <c r="C18" s="13" t="s">
        <v>20</v>
      </c>
    </row>
    <row r="19" spans="1:3" s="5" customFormat="1" x14ac:dyDescent="0.3">
      <c r="A19" s="29" t="s">
        <v>24</v>
      </c>
      <c r="B19" s="3" t="s">
        <v>25</v>
      </c>
      <c r="C19" s="4">
        <f>'[1]KPI - 1_CK'!F19</f>
        <v>7.4464737023903425</v>
      </c>
    </row>
    <row r="20" spans="1:3" s="5" customFormat="1" ht="24" x14ac:dyDescent="0.3">
      <c r="A20" s="30"/>
      <c r="B20" s="3" t="s">
        <v>26</v>
      </c>
      <c r="C20" s="14">
        <f>'[1]KPI - 1_CK'!F20</f>
        <v>0.82473041318361806</v>
      </c>
    </row>
    <row r="21" spans="1:3" s="5" customFormat="1" x14ac:dyDescent="0.3">
      <c r="A21" s="30"/>
      <c r="B21" s="3" t="s">
        <v>27</v>
      </c>
      <c r="C21" s="14">
        <f>'[1]KPI - 1_CK'!F21</f>
        <v>0.34645999307056552</v>
      </c>
    </row>
    <row r="22" spans="1:3" s="5" customFormat="1" x14ac:dyDescent="0.3">
      <c r="A22" s="30"/>
      <c r="B22" s="3" t="s">
        <v>7</v>
      </c>
      <c r="C22" s="14">
        <f>'[1]KPI - 1_CK'!F22</f>
        <v>0.31405613648871772</v>
      </c>
    </row>
    <row r="23" spans="1:3" s="5" customFormat="1" ht="24" x14ac:dyDescent="0.3">
      <c r="A23" s="31"/>
      <c r="B23" s="3" t="s">
        <v>28</v>
      </c>
      <c r="C23" s="14">
        <f>'[1]KPI - 1_CK'!F23</f>
        <v>0.22243702920576189</v>
      </c>
    </row>
    <row r="24" spans="1:3" s="5" customFormat="1" ht="24" x14ac:dyDescent="0.3">
      <c r="A24" s="15" t="s">
        <v>29</v>
      </c>
      <c r="B24" s="3" t="s">
        <v>30</v>
      </c>
      <c r="C24" s="14">
        <f>'[1]KPI - 1_CK'!F24</f>
        <v>0.81445172416782985</v>
      </c>
    </row>
    <row r="25" spans="1:3" s="5" customFormat="1" x14ac:dyDescent="0.3">
      <c r="A25" s="29" t="s">
        <v>31</v>
      </c>
      <c r="B25" s="3" t="s">
        <v>4</v>
      </c>
      <c r="C25" s="4">
        <f>'[1]KPI - 1_CK'!F25</f>
        <v>0.1500014524362055</v>
      </c>
    </row>
    <row r="26" spans="1:3" s="5" customFormat="1" x14ac:dyDescent="0.3">
      <c r="A26" s="30"/>
      <c r="B26" s="3" t="s">
        <v>32</v>
      </c>
      <c r="C26" s="10">
        <f>'[1]KPI - 1_CK'!F26</f>
        <v>63</v>
      </c>
    </row>
    <row r="27" spans="1:3" s="5" customFormat="1" x14ac:dyDescent="0.3">
      <c r="A27" s="31"/>
      <c r="B27" s="3" t="s">
        <v>33</v>
      </c>
      <c r="C27" s="16"/>
    </row>
    <row r="28" spans="1:3" s="5" customFormat="1" x14ac:dyDescent="0.3">
      <c r="A28" s="29" t="s">
        <v>34</v>
      </c>
      <c r="B28" s="3" t="s">
        <v>4</v>
      </c>
      <c r="C28" s="4">
        <f>'[1]KPI - 1_CK'!F28</f>
        <v>7.5021112503372267</v>
      </c>
    </row>
    <row r="29" spans="1:3" s="5" customFormat="1" x14ac:dyDescent="0.3">
      <c r="A29" s="30"/>
      <c r="B29" s="3" t="s">
        <v>35</v>
      </c>
      <c r="C29" s="6">
        <f>'[1]KPI - 1_CK'!F29</f>
        <v>8.3789652554307245E-2</v>
      </c>
    </row>
    <row r="30" spans="1:3" s="5" customFormat="1" x14ac:dyDescent="0.3">
      <c r="A30" s="31"/>
      <c r="B30" s="3" t="s">
        <v>33</v>
      </c>
      <c r="C30" s="16"/>
    </row>
  </sheetData>
  <autoFilter ref="A1:C30" xr:uid="{63A0B9C1-74E8-4169-AB1A-D37610259D49}"/>
  <mergeCells count="5">
    <mergeCell ref="A2:A6"/>
    <mergeCell ref="A7:A18"/>
    <mergeCell ref="A19:A23"/>
    <mergeCell ref="A25:A27"/>
    <mergeCell ref="A28:A30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7509-B327-4947-8927-3DC86BEFC0EB}">
  <dimension ref="A1:C23"/>
  <sheetViews>
    <sheetView zoomScale="80" zoomScaleNormal="80" workbookViewId="0">
      <pane xSplit="2" ySplit="1" topLeftCell="C2" activePane="bottomRight" state="frozen"/>
      <selection activeCell="C2" sqref="C2"/>
      <selection pane="topRight" activeCell="C2" sqref="C2"/>
      <selection pane="bottomLeft" activeCell="C2" sqref="C2"/>
      <selection pane="bottomRight" activeCell="D1" sqref="D1:T1048576"/>
    </sheetView>
  </sheetViews>
  <sheetFormatPr defaultColWidth="8.77734375" defaultRowHeight="13.8" x14ac:dyDescent="0.3"/>
  <cols>
    <col min="1" max="3" width="19.77734375" style="19" customWidth="1"/>
    <col min="4" max="16384" width="8.77734375" style="19"/>
  </cols>
  <sheetData>
    <row r="1" spans="1:3" x14ac:dyDescent="0.3">
      <c r="A1" s="17" t="s">
        <v>0</v>
      </c>
      <c r="B1" s="17" t="s">
        <v>1</v>
      </c>
      <c r="C1" s="18" t="s">
        <v>2</v>
      </c>
    </row>
    <row r="2" spans="1:3" x14ac:dyDescent="0.3">
      <c r="A2" s="35" t="s">
        <v>36</v>
      </c>
      <c r="B2" s="20" t="s">
        <v>37</v>
      </c>
      <c r="C2" s="21">
        <f>'[1]KPI - 2_CK'!F2</f>
        <v>4.2486990783480598</v>
      </c>
    </row>
    <row r="3" spans="1:3" ht="41.4" x14ac:dyDescent="0.3">
      <c r="A3" s="36"/>
      <c r="B3" s="20" t="s">
        <v>38</v>
      </c>
      <c r="C3" s="22">
        <v>0</v>
      </c>
    </row>
    <row r="4" spans="1:3" ht="27.6" x14ac:dyDescent="0.3">
      <c r="A4" s="35" t="s">
        <v>39</v>
      </c>
      <c r="B4" s="20" t="s">
        <v>40</v>
      </c>
      <c r="C4" s="23">
        <f>'[1]KPI - 2_CK'!F4</f>
        <v>3.0753986285596464E-2</v>
      </c>
    </row>
    <row r="5" spans="1:3" ht="27.6" x14ac:dyDescent="0.3">
      <c r="A5" s="37"/>
      <c r="B5" s="20" t="s">
        <v>41</v>
      </c>
      <c r="C5" s="22"/>
    </row>
    <row r="6" spans="1:3" ht="27.6" x14ac:dyDescent="0.3">
      <c r="A6" s="37"/>
      <c r="B6" s="20" t="s">
        <v>42</v>
      </c>
      <c r="C6" s="24" t="s">
        <v>20</v>
      </c>
    </row>
    <row r="7" spans="1:3" x14ac:dyDescent="0.3">
      <c r="A7" s="36"/>
      <c r="B7" s="20" t="s">
        <v>43</v>
      </c>
      <c r="C7" s="24" t="s">
        <v>20</v>
      </c>
    </row>
    <row r="8" spans="1:3" x14ac:dyDescent="0.3">
      <c r="A8" s="35" t="s">
        <v>44</v>
      </c>
      <c r="B8" s="20" t="s">
        <v>45</v>
      </c>
      <c r="C8" s="22" t="s">
        <v>18</v>
      </c>
    </row>
    <row r="9" spans="1:3" x14ac:dyDescent="0.3">
      <c r="A9" s="37"/>
      <c r="B9" s="20" t="s">
        <v>46</v>
      </c>
      <c r="C9" s="22" t="s">
        <v>18</v>
      </c>
    </row>
    <row r="10" spans="1:3" x14ac:dyDescent="0.3">
      <c r="A10" s="37"/>
      <c r="B10" s="20" t="s">
        <v>47</v>
      </c>
      <c r="C10" s="22" t="s">
        <v>18</v>
      </c>
    </row>
    <row r="11" spans="1:3" x14ac:dyDescent="0.3">
      <c r="A11" s="36"/>
      <c r="B11" s="20" t="s">
        <v>48</v>
      </c>
      <c r="C11" s="22" t="s">
        <v>18</v>
      </c>
    </row>
    <row r="12" spans="1:3" x14ac:dyDescent="0.3">
      <c r="A12" s="35" t="s">
        <v>49</v>
      </c>
      <c r="B12" s="20" t="s">
        <v>50</v>
      </c>
      <c r="C12" s="22" t="s">
        <v>18</v>
      </c>
    </row>
    <row r="13" spans="1:3" ht="27.6" x14ac:dyDescent="0.3">
      <c r="A13" s="37"/>
      <c r="B13" s="20" t="s">
        <v>51</v>
      </c>
      <c r="C13" s="22" t="s">
        <v>18</v>
      </c>
    </row>
    <row r="14" spans="1:3" ht="27.6" x14ac:dyDescent="0.3">
      <c r="A14" s="36"/>
      <c r="B14" s="20" t="s">
        <v>52</v>
      </c>
      <c r="C14" s="22" t="s">
        <v>18</v>
      </c>
    </row>
    <row r="15" spans="1:3" x14ac:dyDescent="0.3">
      <c r="A15" s="25" t="s">
        <v>53</v>
      </c>
      <c r="B15" s="20" t="s">
        <v>54</v>
      </c>
      <c r="C15" s="22"/>
    </row>
    <row r="16" spans="1:3" x14ac:dyDescent="0.3">
      <c r="A16" s="26" t="s">
        <v>55</v>
      </c>
      <c r="B16" s="20" t="s">
        <v>56</v>
      </c>
      <c r="C16" s="22"/>
    </row>
    <row r="17" spans="1:3" x14ac:dyDescent="0.3">
      <c r="A17" s="27"/>
      <c r="B17" s="20" t="s">
        <v>57</v>
      </c>
      <c r="C17" s="22"/>
    </row>
    <row r="18" spans="1:3" x14ac:dyDescent="0.3">
      <c r="A18" s="27"/>
      <c r="B18" s="20" t="s">
        <v>58</v>
      </c>
      <c r="C18" s="22"/>
    </row>
    <row r="19" spans="1:3" x14ac:dyDescent="0.3">
      <c r="A19" s="27"/>
      <c r="B19" s="20" t="s">
        <v>59</v>
      </c>
      <c r="C19" s="22"/>
    </row>
    <row r="20" spans="1:3" x14ac:dyDescent="0.3">
      <c r="A20" s="27"/>
      <c r="B20" s="20" t="s">
        <v>60</v>
      </c>
      <c r="C20" s="22"/>
    </row>
    <row r="21" spans="1:3" x14ac:dyDescent="0.3">
      <c r="A21" s="27"/>
      <c r="B21" s="20" t="s">
        <v>61</v>
      </c>
      <c r="C21" s="22"/>
    </row>
    <row r="22" spans="1:3" x14ac:dyDescent="0.3">
      <c r="A22" s="27"/>
      <c r="B22" s="20" t="s">
        <v>62</v>
      </c>
      <c r="C22" s="22"/>
    </row>
    <row r="23" spans="1:3" x14ac:dyDescent="0.3">
      <c r="A23" s="28"/>
      <c r="B23" s="20" t="s">
        <v>63</v>
      </c>
      <c r="C23" s="22"/>
    </row>
  </sheetData>
  <mergeCells count="4">
    <mergeCell ref="A2:A3"/>
    <mergeCell ref="A4:A7"/>
    <mergeCell ref="A8:A11"/>
    <mergeCell ref="A12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 - 1_TH</vt:lpstr>
      <vt:lpstr>KPI - 2_TH</vt:lpstr>
      <vt:lpstr>KPI - 1_CK</vt:lpstr>
      <vt:lpstr>KPI - 2_CK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Eliamma George</dc:creator>
  <cp:lastModifiedBy>Radhakishan Thakur</cp:lastModifiedBy>
  <dcterms:created xsi:type="dcterms:W3CDTF">2026-05-07T12:12:29Z</dcterms:created>
  <dcterms:modified xsi:type="dcterms:W3CDTF">2026-05-15T06:52:20Z</dcterms:modified>
</cp:coreProperties>
</file>